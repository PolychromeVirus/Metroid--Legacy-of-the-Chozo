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lyc\Desktop\Project Files\legacyofchozo\"/>
    </mc:Choice>
  </mc:AlternateContent>
  <xr:revisionPtr revIDLastSave="0" documentId="13_ncr:1_{E5586B3B-D8F2-4C97-8962-1EE7D839B7CF}" xr6:coauthVersionLast="47" xr6:coauthVersionMax="47" xr10:uidLastSave="{00000000-0000-0000-0000-000000000000}"/>
  <bookViews>
    <workbookView xWindow="-120" yWindow="-120" windowWidth="38640" windowHeight="21240" xr2:uid="{E42863CE-C03E-44E5-940B-DCEC359E2BB6}"/>
  </bookViews>
  <sheets>
    <sheet name="Cards" sheetId="1" r:id="rId1"/>
    <sheet name="Starter" sheetId="4" r:id="rId2"/>
    <sheet name="Set2" sheetId="6" r:id="rId3"/>
    <sheet name="Cards_defines" sheetId="2" r:id="rId4"/>
    <sheet name="Set2_defines" sheetId="7" r:id="rId5"/>
    <sheet name="Metroids" sheetId="3" r:id="rId6"/>
    <sheet name="Starter_defines" sheetId="5" r:id="rId7"/>
  </sheets>
  <definedNames>
    <definedName name="_xlnm._FilterDatabase" localSheetId="0" hidden="1">Cards!$A$1:$O$1</definedName>
    <definedName name="_xlnm._FilterDatabase" localSheetId="2" hidden="1">'Set2'!$A$1:$L$36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6" l="1"/>
  <c r="N2" i="4"/>
  <c r="N3" i="4"/>
  <c r="N4" i="4"/>
  <c r="N5" i="4"/>
  <c r="N6" i="4"/>
  <c r="N7" i="4"/>
  <c r="N8" i="4"/>
  <c r="N9" i="4"/>
  <c r="O10" i="6"/>
  <c r="O9" i="6"/>
  <c r="O8" i="6"/>
  <c r="O7" i="6"/>
  <c r="O6" i="6"/>
  <c r="O5" i="6"/>
  <c r="O4" i="6"/>
  <c r="O3" i="6"/>
  <c r="B5" i="7"/>
  <c r="O2" i="6"/>
  <c r="B5" i="2"/>
  <c r="B2" i="5"/>
</calcChain>
</file>

<file path=xl/sharedStrings.xml><?xml version="1.0" encoding="utf-8"?>
<sst xmlns="http://schemas.openxmlformats.org/spreadsheetml/2006/main" count="650" uniqueCount="276">
  <si>
    <t>type</t>
  </si>
  <si>
    <t>faction</t>
  </si>
  <si>
    <t>GF</t>
  </si>
  <si>
    <t>SP</t>
  </si>
  <si>
    <t>Character</t>
  </si>
  <si>
    <t>CZ</t>
  </si>
  <si>
    <t>image</t>
  </si>
  <si>
    <t>olympus_and_stiletto</t>
  </si>
  <si>
    <t>name</t>
  </si>
  <si>
    <t>effect</t>
  </si>
  <si>
    <t>G.F.S. Olympus</t>
  </si>
  <si>
    <t>Galactic Federation</t>
  </si>
  <si>
    <t>strength</t>
  </si>
  <si>
    <t>adam_malkovich</t>
  </si>
  <si>
    <t>Adam Malkovich</t>
  </si>
  <si>
    <t>deploy</t>
  </si>
  <si>
    <t>reserve</t>
  </si>
  <si>
    <t>tags</t>
  </si>
  <si>
    <t>BH</t>
  </si>
  <si>
    <t>Samus Aran</t>
  </si>
  <si>
    <t>Bounty Hunter</t>
  </si>
  <si>
    <t>samus_aran</t>
  </si>
  <si>
    <t>Raven Beak</t>
  </si>
  <si>
    <t>Chozo - Mawkin</t>
  </si>
  <si>
    <t>raven_beak</t>
  </si>
  <si>
    <t>Frigate Orpheon</t>
  </si>
  <si>
    <t>Space Pirate</t>
  </si>
  <si>
    <t>frigate_orpheon</t>
  </si>
  <si>
    <t>NA</t>
  </si>
  <si>
    <t>Event</t>
  </si>
  <si>
    <t>SA-X Breaks Out!</t>
  </si>
  <si>
    <t>All players that have at least 1 Metroid breach containment. Apply all consequences regardless of strength level.</t>
  </si>
  <si>
    <t>Neutral</t>
  </si>
  <si>
    <t>Light Shuttle</t>
  </si>
  <si>
    <t>Armoured Frigate</t>
  </si>
  <si>
    <t>Key</t>
  </si>
  <si>
    <t>Value</t>
  </si>
  <si>
    <t>--</t>
  </si>
  <si>
    <t>Chozo - Thoha</t>
  </si>
  <si>
    <t>Security +2 when raiding with this vehicle</t>
  </si>
  <si>
    <t>When you successfully raid: Ready this ship</t>
  </si>
  <si>
    <t>Security +2 when exhausting for breach containment</t>
  </si>
  <si>
    <t>Gunship</t>
  </si>
  <si>
    <t>gunship-mp3</t>
  </si>
  <si>
    <t>When capturing to this ship\n+1 CP</t>
  </si>
  <si>
    <t>Pirate Destroyer</t>
  </si>
  <si>
    <t>pirate_destroyer</t>
  </si>
  <si>
    <t>Space_Pirate_Vessel</t>
  </si>
  <si>
    <t>Attack Vessel</t>
  </si>
  <si>
    <t>thoha_ship</t>
  </si>
  <si>
    <t>mawkin_starship</t>
  </si>
  <si>
    <t>Mawkin Starship</t>
  </si>
  <si>
    <t>Chozo Transport</t>
  </si>
  <si>
    <t>tyr_model</t>
  </si>
  <si>
    <t>G.F.S. Tyr</t>
  </si>
  <si>
    <t>sa-x</t>
  </si>
  <si>
    <t>Delano 7</t>
  </si>
  <si>
    <t>delano_7</t>
  </si>
  <si>
    <t>GF Marine</t>
  </si>
  <si>
    <t>Start of turn: Draw 1 card, then discard 1 card</t>
  </si>
  <si>
    <t>Security Guard</t>
  </si>
  <si>
    <t>+1 CP when you successfully contain a breach</t>
  </si>
  <si>
    <t>GF Soldier</t>
  </si>
  <si>
    <t>Admiral Dane</t>
  </si>
  <si>
    <t>admiral_dane</t>
  </si>
  <si>
    <t>Quiet Robe</t>
  </si>
  <si>
    <t>chozocolonist</t>
  </si>
  <si>
    <t>Gray Voice</t>
  </si>
  <si>
    <t>While ready: Capturing costs -1 CP</t>
  </si>
  <si>
    <t>grayvoice</t>
  </si>
  <si>
    <t>Chozo Warrior</t>
  </si>
  <si>
    <t>While ready: Raids cost -1 CP</t>
  </si>
  <si>
    <t>chozo_soldiers</t>
  </si>
  <si>
    <t>Zebesian Pirate</t>
  </si>
  <si>
    <t>Beam Pirate</t>
  </si>
  <si>
    <t>During containment checks, strength +1</t>
  </si>
  <si>
    <t>Gandrayda</t>
  </si>
  <si>
    <t>Rundas</t>
  </si>
  <si>
    <t>gandrayda</t>
  </si>
  <si>
    <t>rundas</t>
  </si>
  <si>
    <t>ghor</t>
  </si>
  <si>
    <t>Ghor</t>
  </si>
  <si>
    <t>This ship does not exhaust when transporting</t>
  </si>
  <si>
    <t>Location</t>
  </si>
  <si>
    <t>Biologic Space Laboratories</t>
  </si>
  <si>
    <t>BSL_research_station</t>
  </si>
  <si>
    <t>Collision Course</t>
  </si>
  <si>
    <t>BSL_research_station5</t>
  </si>
  <si>
    <t>Zebes</t>
  </si>
  <si>
    <t>Chozo</t>
  </si>
  <si>
    <t>zebes</t>
  </si>
  <si>
    <t>Ready Room</t>
  </si>
  <si>
    <t>ready_room_6</t>
  </si>
  <si>
    <t>Space Pirate Homeworld</t>
  </si>
  <si>
    <t>utraghus</t>
  </si>
  <si>
    <t>earth</t>
  </si>
  <si>
    <t>Galactic Federation HQ</t>
  </si>
  <si>
    <t>Security +1 when defending against raids</t>
  </si>
  <si>
    <t>smythe</t>
  </si>
  <si>
    <t>Metroid_Other_M_Federation_Soldiers</t>
  </si>
  <si>
    <t>scientist</t>
  </si>
  <si>
    <t>Researcher</t>
  </si>
  <si>
    <t>Mzm078vi</t>
  </si>
  <si>
    <t>wave_trooper</t>
  </si>
  <si>
    <t>set</t>
  </si>
  <si>
    <t>LOC</t>
  </si>
  <si>
    <t>B.S.L. Ship</t>
  </si>
  <si>
    <t>ship_final_moments</t>
  </si>
  <si>
    <t>Count</t>
  </si>
  <si>
    <t>Name</t>
  </si>
  <si>
    <t>Hazard</t>
  </si>
  <si>
    <t>Stage</t>
  </si>
  <si>
    <t>VP</t>
  </si>
  <si>
    <t>Larva</t>
  </si>
  <si>
    <t>Alpha</t>
  </si>
  <si>
    <t>Gamma</t>
  </si>
  <si>
    <t>Zeta</t>
  </si>
  <si>
    <t>Omega</t>
  </si>
  <si>
    <t>Effect</t>
  </si>
  <si>
    <t>Flavour</t>
  </si>
  <si>
    <t>flavor</t>
  </si>
  <si>
    <t>Set</t>
  </si>
  <si>
    <t>alias</t>
  </si>
  <si>
    <t>Metroid Larva</t>
  </si>
  <si>
    <t>Alpha Metroid</t>
  </si>
  <si>
    <t>Zeta Metroid</t>
  </si>
  <si>
    <t>Gamma Metroid</t>
  </si>
  <si>
    <t>Omega Metroid</t>
  </si>
  <si>
    <t>A larva's physiology is mostly identical to an Infant's, however, its size has grown considerably.</t>
  </si>
  <si>
    <t>The Metroid is now visually akin to an arthropod, though its insect-like legs have not reached their full length and size, thus preventing their use for ground locomotion.</t>
  </si>
  <si>
    <t>This stage is an expansion to the prior form. The four legs have fully developed, allowing it to walk along the ground while still maintaining its ability to fly.</t>
  </si>
  <si>
    <t>The Metroid's body drastically transforms for a second time, and at this point shares many traits with that of a quadrupedal, theropod dinosaur.</t>
  </si>
  <si>
    <t>The final and most powerful form of a standard Metroid. Now standing in a bipedal posture, the Omega Metroid sacrifices the mobility of the previous stage for increased size and strength.</t>
  </si>
  <si>
    <t>If no ship contributes strength during a Containment Check, this metroid automatically breaches</t>
  </si>
  <si>
    <t>Queen Metroid Awakens</t>
  </si>
  <si>
    <t>Event - Global</t>
  </si>
  <si>
    <t>When this card appears in the shop, immediately:\n&lt;al&gt;-All players perform a Containment Check at +2 Hazard\n-Evolve all metroids in SR388\n-Shuffle this card back into the shop deck</t>
  </si>
  <si>
    <t>queenmetroid</t>
  </si>
  <si>
    <t>I personally delivered it to the Galactic Research Station at Ceres so scientists could study its energy producing qualities…</t>
  </si>
  <si>
    <t>Mission Accomplished</t>
  </si>
  <si>
    <t>Federation Marines wear advanced suits of powered armor, allowing them to use potent weapons and resist heavy damage in battle.</t>
  </si>
  <si>
    <t>Space Pirates have reverse-engineered several of your weapons, including the Beam.</t>
  </si>
  <si>
    <t>These feared aliens are known as the scourge of the Galaxy. They are known for stealing galactic trading ships and leaving the crews stranded in space.</t>
  </si>
  <si>
    <t>Return all metroids on SR388 to Metroid Larva stage</t>
  </si>
  <si>
    <t>Ship</t>
  </si>
  <si>
    <t>+1 CP</t>
  </si>
  <si>
    <t>Orders Received</t>
  </si>
  <si>
    <t>Budget Cuts</t>
  </si>
  <si>
    <t>Private Military</t>
  </si>
  <si>
    <t>The next time you reserve a card from the shop, pay 1 less CP</t>
  </si>
  <si>
    <t>Away Team</t>
  </si>
  <si>
    <t>The next time you attempt to capture a metroid, pay 1 less CP</t>
  </si>
  <si>
    <t>The next time one of your characters would be exhausted by a card effect before your next turn: It doesn't</t>
  </si>
  <si>
    <t>Sloop</t>
  </si>
  <si>
    <t>Ship Captain</t>
  </si>
  <si>
    <t>A lust for power drives even civilians to the furthest lengths</t>
  </si>
  <si>
    <t>ex</t>
  </si>
  <si>
    <t>&lt;img=assets\inline\exhaust.png&gt;</t>
  </si>
  <si>
    <t>cost</t>
  </si>
  <si>
    <t>&lt;img=assets\inline\{1}.png&gt;</t>
  </si>
  <si>
    <t>@[ex]: +1 CP</t>
  </si>
  <si>
    <t>@[cost,3]@[ex]: Discard one card your opponent controls</t>
  </si>
  <si>
    <t>@[ex]: Your opponent may pay 1 CP, if they don't, ready one "Space Pirate" character</t>
  </si>
  <si>
    <t>@[ex]: The next "Galactic Federation" character you exhaust to activate its ability activates twice.</t>
  </si>
  <si>
    <t>@[ex]: Refund 1 CP the next time a "Bounty Hunter" character activates its ability</t>
  </si>
  <si>
    <t>@[cost,1]: Ready target ship</t>
  </si>
  <si>
    <t>@[cost,1]@[ex]: Place two metroids from SR388 on to a ready ship you control. The sum of these two metroids level must be less than or equal to the security of the ship chosen.</t>
  </si>
  <si>
    <t>@[cost,1]: Select another character any player controls - Until end of turn Gandrayda becomes a copy of that character</t>
  </si>
  <si>
    <t>Both players may use the following ability:\n@[cost,1]@[ex]: Reserve 1 event from the shop for free</t>
  </si>
  <si>
    <t>@[ex]: Target ship has +2 security this turn\n\n@[cost,1]: +1 Strength for defending against raids</t>
  </si>
  <si>
    <t>@[cost,1]@[ex]: Exhaust target character\n\n@[cost,2]@[ex]: Exhaust target ship</t>
  </si>
  <si>
    <t>des</t>
  </si>
  <si>
    <t>&lt;img=assets\inline\destroy.png&gt;</t>
  </si>
  <si>
    <t>@[cost,1]@[des]: Deploy target ship directly from the shop, bypassing cost</t>
  </si>
  <si>
    <t>allowed_layout</t>
  </si>
  <si>
    <t>Default</t>
  </si>
  <si>
    <t>ship</t>
  </si>
  <si>
    <t>default</t>
  </si>
  <si>
    <t>settotal</t>
  </si>
  <si>
    <t>key</t>
  </si>
  <si>
    <t>value</t>
  </si>
  <si>
    <t>count</t>
  </si>
  <si>
    <t>countdisplay</t>
  </si>
  <si>
    <t>X</t>
  </si>
  <si>
    <t>Zebesian Pirate's strength is equal to the number of ready 'Space Pirate' cards you control</t>
  </si>
  <si>
    <t>brinstartorizo</t>
  </si>
  <si>
    <t>Torizo</t>
  </si>
  <si>
    <t>Body Adaptation Machine</t>
  </si>
  <si>
    <t>bodyadapt</t>
  </si>
  <si>
    <t>@[cost,1]: Attach Body Adaptation Machine to a character you control and declare a faction. It now has that faction in addition to its other faction(s)</t>
  </si>
  <si>
    <t>Mother Brain</t>
  </si>
  <si>
    <t>Motherbrain</t>
  </si>
  <si>
    <t>@[cost,2]@[ex]: Discard 1 character controlled by any player</t>
  </si>
  <si>
    <t>Mother brain has strength equal to the research value of the latest stage Metroid in your lab (rounded up)</t>
  </si>
  <si>
    <t>@[des]: Evolve 1 Metroid in your lab (do not advance the mutation track)</t>
  </si>
  <si>
    <t>Phazon</t>
  </si>
  <si>
    <t>x</t>
  </si>
  <si>
    <t>LOP</t>
  </si>
  <si>
    <t>PZ</t>
  </si>
  <si>
    <t>Corrupt Rundas</t>
  </si>
  <si>
    <t>Phazon - Bounty Hunter</t>
  </si>
  <si>
    <t>Corrupt Gandrayda</t>
  </si>
  <si>
    <t>@[cost,2]: Exhaust target card. Corrupt Gandrayda becomes a copy of that card and it gains an extra Phazon token.</t>
  </si>
  <si>
    <t>Dark Samus</t>
  </si>
  <si>
    <t>darksamus</t>
  </si>
  <si>
    <t>Phazon - Space Pirate</t>
  </si>
  <si>
    <t>Elysia_leviathan</t>
  </si>
  <si>
    <t>Leviathan</t>
  </si>
  <si>
    <t>leviathan_wormhole_3</t>
  </si>
  <si>
    <t>Leviathan Battleship</t>
  </si>
  <si>
    <t>Hunter Metroid</t>
  </si>
  <si>
    <t>Hunter</t>
  </si>
  <si>
    <t>This metroid breaches before other stages. If it breaches, all characters you control get a Phazon token</t>
  </si>
  <si>
    <t>dual</t>
  </si>
  <si>
    <t>SPPZ</t>
  </si>
  <si>
    <t>BHPZ</t>
  </si>
  <si>
    <t>BHCZ</t>
  </si>
  <si>
    <t>Chozo - Bounty Hunter</t>
  </si>
  <si>
    <t>CZPZ</t>
  </si>
  <si>
    <t>Chozo Ghosts</t>
  </si>
  <si>
    <t>Phazon - Chozo - Thoha</t>
  </si>
  <si>
    <t>chozo_ghosts</t>
  </si>
  <si>
    <t>Hive Mind Communication</t>
  </si>
  <si>
    <t>Phazon - Event</t>
  </si>
  <si>
    <t>+2 CP, all characters you control get a Phazon token</t>
  </si>
  <si>
    <t>When a breach occurs: You may destroy this card to avoid the breach</t>
  </si>
  <si>
    <t>Security +2 while exhausted</t>
  </si>
  <si>
    <t>This card does not ready at start of turn\n@[cost,1]@[ex]: Attach to any player's location . While attached, that card gains a phazon token and exhausts at the end of each turn</t>
  </si>
  <si>
    <t>Any Metroids on board this ship at the end of turn are replaced with Hunter Metroids</t>
  </si>
  <si>
    <t>shipcaptain</t>
  </si>
  <si>
    <t>sloop</t>
  </si>
  <si>
    <t>awayteam</t>
  </si>
  <si>
    <t>anyobjections</t>
  </si>
  <si>
    <t>military</t>
  </si>
  <si>
    <t>stocks</t>
  </si>
  <si>
    <t>Military Rations</t>
  </si>
  <si>
    <t>rations</t>
  </si>
  <si>
    <t>security</t>
  </si>
  <si>
    <t>defiant</t>
  </si>
  <si>
    <t>ishimura</t>
  </si>
  <si>
    <t>phazonhive</t>
  </si>
  <si>
    <t>GFPZ</t>
  </si>
  <si>
    <t>Aurora Unit 217</t>
  </si>
  <si>
    <t>aurora217</t>
  </si>
  <si>
    <t>Phazon - Galactic Federation</t>
  </si>
  <si>
    <t>"Aurora Unit 217 offline. Phazon corruption present. Administer vaccine to repair."</t>
  </si>
  <si>
    <t>@[ex]: Attach to a ship. Attached ship has +1 Security and "Phazon" type\n@[des]: All ships and characters get 3 Phazon tokens</t>
  </si>
  <si>
    <t>ped</t>
  </si>
  <si>
    <t>P.E.D. Suit</t>
  </si>
  <si>
    <t>Chozo - Neutral</t>
  </si>
  <si>
    <t>I completely eradicated them except for a larva, which after hatching followed me like a confused child...</t>
  </si>
  <si>
    <t>@[ex]: Attach to another character. That character exhausts at the end of every turn.</t>
  </si>
  <si>
    <t>SR_samus_with_baby</t>
  </si>
  <si>
    <t>NACZ</t>
  </si>
  <si>
    <t>The Baby</t>
  </si>
  <si>
    <t>@[cost,1]@[ex]: Remove all Phazon tokens from this card. Discard any number of characters who's total strength sums to less than or equal to the number of tokens removed.\n\n@[ex]: Move a Phazon token from another card you control to this one\n\nDark Samus cannot be discarded by accumulating Phazon tokens.</t>
  </si>
  <si>
    <t>You know, you should never trust strangers, Sammy.</t>
  </si>
  <si>
    <t>Hey, relax! We're the good guys! Justice will prevail and all that stuff... right, Samus?</t>
  </si>
  <si>
    <t>Don't you feel the power? Soon everything will be corrupted. Including you!</t>
  </si>
  <si>
    <t>There is no need for us to fight.</t>
  </si>
  <si>
    <t>Foolish daughter... Leave the galaxy to me. Close your eyes and rest.</t>
  </si>
  <si>
    <t>Outstanding work, Samus. I don't say this often, but I sure am impressed.</t>
  </si>
  <si>
    <t>Any objections, Lady?</t>
  </si>
  <si>
    <t>Beyond my existence, there is no value in having the existence of the Chozo. We are only discarding what is useless.</t>
  </si>
  <si>
    <t>Chozo aligned cards may be deployed and reserved for 1 less CP</t>
  </si>
  <si>
    <t>mp3_hypermode</t>
  </si>
  <si>
    <t>Hyper Mode</t>
  </si>
  <si>
    <t>Remove a phazon token from all cards you control. For every token removed, put a phazon token on one character you control.</t>
  </si>
  <si>
    <t>@[ex]: Attach to a character you control. Attached character has:\n"@[cost,2]: Remove all phazon tokens from this card, +1 Strength for each token removed until end of turn" and gains a phazon token at the end of every turn.</t>
  </si>
  <si>
    <t>Corrupt Rundas is deployed with 3 Phazon tokens\n\nCorrupt Rundas' Strength is equal to the number of Phazon tokens it has</t>
  </si>
  <si>
    <t>prundas</t>
  </si>
  <si>
    <t>pgandrayda</t>
  </si>
  <si>
    <t>At the end of each turn, move a Phazon token from another card you control to Chozo Ghosts. Then, if this card has 3 or more Phazon tokens, discard it and put its Phazon tokens on a character your opponent controls.</t>
  </si>
  <si>
    <t>@[ex]: Select another ship you control that is being raided. If it is a Galactic Federation ship it gains 2 Security until end of turn, otherwise it gets 1</t>
  </si>
  <si>
    <t>If this ship exhausts for containment, also ready one Galactic Federation character.\nWhen this ship is being raided, Galactic Federation characters contribute 1 more strength than normal.</t>
  </si>
  <si>
    <t>When a ship you control is destroyed from a raid, if GF Soldier is ready, @[ex] it and your opponent's lowest stage Metroid breaches.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</si>
</sst>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49" fontId="0" fillId="0" borderId="0" xfId="0" applyNumberFormat="1"/>
    <xf numFmtId="20" fontId="0" fillId="0" borderId="0" xfId="0" quotePrefix="1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7148F-73E8-45E0-8B75-B6872BC64030}">
  <dimension ref="A1:O48"/>
  <sheetViews>
    <sheetView tabSelected="1" zoomScale="85" zoomScaleNormal="85" workbookViewId="0">
      <selection activeCell="H12" sqref="H12"/>
    </sheetView>
  </sheetViews>
  <sheetFormatPr defaultRowHeight="15" x14ac:dyDescent="0.25"/>
  <cols>
    <col min="4" max="4" width="9.5703125" bestFit="1" customWidth="1"/>
    <col min="5" max="5" width="20" bestFit="1" customWidth="1"/>
    <col min="6" max="6" width="20.7109375" bestFit="1" customWidth="1"/>
    <col min="7" max="7" width="18.42578125" bestFit="1" customWidth="1"/>
    <col min="8" max="8" width="72.28515625" customWidth="1"/>
    <col min="12" max="12" width="136.85546875" bestFit="1" customWidth="1"/>
    <col min="13" max="13" width="7.5703125" bestFit="1" customWidth="1"/>
    <col min="15" max="15" width="14.7109375" bestFit="1" customWidth="1"/>
  </cols>
  <sheetData>
    <row r="1" spans="1:15" x14ac:dyDescent="0.25">
      <c r="A1" t="s">
        <v>181</v>
      </c>
      <c r="B1" t="s">
        <v>104</v>
      </c>
      <c r="C1" t="s">
        <v>1</v>
      </c>
      <c r="D1" t="s">
        <v>0</v>
      </c>
      <c r="E1" t="s">
        <v>6</v>
      </c>
      <c r="F1" t="s">
        <v>8</v>
      </c>
      <c r="G1" t="s">
        <v>17</v>
      </c>
      <c r="H1" t="s">
        <v>9</v>
      </c>
      <c r="I1" t="s">
        <v>12</v>
      </c>
      <c r="J1" t="s">
        <v>15</v>
      </c>
      <c r="K1" t="s">
        <v>16</v>
      </c>
      <c r="L1" t="s">
        <v>120</v>
      </c>
      <c r="M1" t="s">
        <v>213</v>
      </c>
      <c r="N1" t="s">
        <v>174</v>
      </c>
      <c r="O1" t="s">
        <v>182</v>
      </c>
    </row>
    <row r="2" spans="1:15" x14ac:dyDescent="0.25">
      <c r="A2">
        <v>2</v>
      </c>
      <c r="B2" t="s">
        <v>105</v>
      </c>
      <c r="C2" t="s">
        <v>18</v>
      </c>
      <c r="D2" t="s">
        <v>4</v>
      </c>
      <c r="E2" t="s">
        <v>78</v>
      </c>
      <c r="F2" t="s">
        <v>76</v>
      </c>
      <c r="G2" t="s">
        <v>20</v>
      </c>
      <c r="H2" s="1" t="s">
        <v>167</v>
      </c>
      <c r="I2">
        <v>2</v>
      </c>
      <c r="J2">
        <v>5</v>
      </c>
      <c r="K2">
        <v>3</v>
      </c>
      <c r="L2" t="s">
        <v>256</v>
      </c>
      <c r="N2" t="s">
        <v>175</v>
      </c>
      <c r="O2">
        <v>2</v>
      </c>
    </row>
    <row r="3" spans="1:15" x14ac:dyDescent="0.25">
      <c r="A3">
        <v>2</v>
      </c>
      <c r="B3" t="s">
        <v>105</v>
      </c>
      <c r="C3" t="s">
        <v>18</v>
      </c>
      <c r="D3" t="s">
        <v>4</v>
      </c>
      <c r="E3" t="s">
        <v>79</v>
      </c>
      <c r="F3" t="s">
        <v>77</v>
      </c>
      <c r="G3" t="s">
        <v>20</v>
      </c>
      <c r="H3" s="1" t="s">
        <v>170</v>
      </c>
      <c r="I3">
        <v>2</v>
      </c>
      <c r="J3">
        <v>5</v>
      </c>
      <c r="K3">
        <v>3</v>
      </c>
      <c r="L3" t="s">
        <v>257</v>
      </c>
      <c r="N3" t="s">
        <v>175</v>
      </c>
      <c r="O3">
        <v>2</v>
      </c>
    </row>
    <row r="4" spans="1:15" x14ac:dyDescent="0.25">
      <c r="A4">
        <v>2</v>
      </c>
      <c r="B4" t="s">
        <v>105</v>
      </c>
      <c r="C4" t="s">
        <v>18</v>
      </c>
      <c r="D4" t="s">
        <v>4</v>
      </c>
      <c r="E4" t="s">
        <v>80</v>
      </c>
      <c r="F4" t="s">
        <v>81</v>
      </c>
      <c r="G4" t="s">
        <v>20</v>
      </c>
      <c r="H4" s="1" t="s">
        <v>173</v>
      </c>
      <c r="I4">
        <v>2</v>
      </c>
      <c r="J4">
        <v>5</v>
      </c>
      <c r="K4">
        <v>3</v>
      </c>
      <c r="L4" t="s">
        <v>258</v>
      </c>
      <c r="N4" t="s">
        <v>175</v>
      </c>
      <c r="O4">
        <v>2</v>
      </c>
    </row>
    <row r="5" spans="1:15" x14ac:dyDescent="0.25">
      <c r="A5">
        <v>2</v>
      </c>
      <c r="B5" t="s">
        <v>105</v>
      </c>
      <c r="C5" t="s">
        <v>216</v>
      </c>
      <c r="D5" t="s">
        <v>4</v>
      </c>
      <c r="E5" t="s">
        <v>21</v>
      </c>
      <c r="F5" t="s">
        <v>19</v>
      </c>
      <c r="G5" t="s">
        <v>217</v>
      </c>
      <c r="H5" s="1" t="s">
        <v>169</v>
      </c>
      <c r="I5">
        <v>2</v>
      </c>
      <c r="J5">
        <v>5</v>
      </c>
      <c r="K5">
        <v>3</v>
      </c>
      <c r="L5" t="s">
        <v>139</v>
      </c>
      <c r="M5" t="s">
        <v>196</v>
      </c>
      <c r="N5" t="s">
        <v>175</v>
      </c>
      <c r="O5">
        <v>2</v>
      </c>
    </row>
    <row r="6" spans="1:15" x14ac:dyDescent="0.25">
      <c r="A6">
        <v>4</v>
      </c>
      <c r="B6" t="s">
        <v>105</v>
      </c>
      <c r="C6" t="s">
        <v>5</v>
      </c>
      <c r="D6" t="s">
        <v>4</v>
      </c>
      <c r="E6" t="s">
        <v>66</v>
      </c>
      <c r="F6" t="s">
        <v>65</v>
      </c>
      <c r="G6" t="s">
        <v>38</v>
      </c>
      <c r="H6" s="1" t="s">
        <v>166</v>
      </c>
      <c r="I6">
        <v>1</v>
      </c>
      <c r="J6">
        <v>3</v>
      </c>
      <c r="K6">
        <v>2</v>
      </c>
      <c r="N6" t="s">
        <v>175</v>
      </c>
      <c r="O6">
        <v>4</v>
      </c>
    </row>
    <row r="7" spans="1:15" x14ac:dyDescent="0.25">
      <c r="A7">
        <v>2</v>
      </c>
      <c r="B7" t="s">
        <v>105</v>
      </c>
      <c r="C7" t="s">
        <v>5</v>
      </c>
      <c r="D7" t="s">
        <v>4</v>
      </c>
      <c r="E7" t="s">
        <v>69</v>
      </c>
      <c r="F7" t="s">
        <v>67</v>
      </c>
      <c r="G7" t="s">
        <v>38</v>
      </c>
      <c r="H7" t="s">
        <v>68</v>
      </c>
      <c r="I7">
        <v>2</v>
      </c>
      <c r="J7">
        <v>5</v>
      </c>
      <c r="K7">
        <v>3</v>
      </c>
      <c r="L7" t="s">
        <v>259</v>
      </c>
      <c r="N7" t="s">
        <v>175</v>
      </c>
      <c r="O7">
        <v>2</v>
      </c>
    </row>
    <row r="8" spans="1:15" x14ac:dyDescent="0.25">
      <c r="A8">
        <v>4</v>
      </c>
      <c r="B8" t="s">
        <v>105</v>
      </c>
      <c r="C8" t="s">
        <v>5</v>
      </c>
      <c r="D8" t="s">
        <v>4</v>
      </c>
      <c r="E8" t="s">
        <v>72</v>
      </c>
      <c r="F8" t="s">
        <v>70</v>
      </c>
      <c r="G8" t="s">
        <v>23</v>
      </c>
      <c r="H8" t="s">
        <v>71</v>
      </c>
      <c r="I8">
        <v>1</v>
      </c>
      <c r="J8">
        <v>3</v>
      </c>
      <c r="K8">
        <v>2</v>
      </c>
      <c r="N8" t="s">
        <v>175</v>
      </c>
      <c r="O8">
        <v>4</v>
      </c>
    </row>
    <row r="9" spans="1:15" x14ac:dyDescent="0.25">
      <c r="A9">
        <v>2</v>
      </c>
      <c r="B9" t="s">
        <v>105</v>
      </c>
      <c r="C9" t="s">
        <v>5</v>
      </c>
      <c r="D9" t="s">
        <v>4</v>
      </c>
      <c r="E9" t="s">
        <v>24</v>
      </c>
      <c r="F9" t="s">
        <v>22</v>
      </c>
      <c r="G9" t="s">
        <v>23</v>
      </c>
      <c r="H9" s="1" t="s">
        <v>192</v>
      </c>
      <c r="I9">
        <v>3</v>
      </c>
      <c r="J9">
        <v>6</v>
      </c>
      <c r="K9">
        <v>4</v>
      </c>
      <c r="L9" t="s">
        <v>260</v>
      </c>
      <c r="N9" t="s">
        <v>175</v>
      </c>
      <c r="O9">
        <v>2</v>
      </c>
    </row>
    <row r="10" spans="1:15" x14ac:dyDescent="0.25">
      <c r="A10">
        <v>2</v>
      </c>
      <c r="B10" t="s">
        <v>105</v>
      </c>
      <c r="C10" t="s">
        <v>5</v>
      </c>
      <c r="D10" t="s">
        <v>4</v>
      </c>
      <c r="E10" t="s">
        <v>188</v>
      </c>
      <c r="F10" t="s">
        <v>187</v>
      </c>
      <c r="G10" t="s">
        <v>89</v>
      </c>
      <c r="H10" s="1" t="s">
        <v>189</v>
      </c>
      <c r="I10">
        <v>0</v>
      </c>
      <c r="J10">
        <v>4</v>
      </c>
      <c r="K10">
        <v>2</v>
      </c>
      <c r="N10" t="s">
        <v>175</v>
      </c>
      <c r="O10">
        <v>2</v>
      </c>
    </row>
    <row r="11" spans="1:15" x14ac:dyDescent="0.25">
      <c r="A11">
        <v>2</v>
      </c>
      <c r="B11" t="s">
        <v>105</v>
      </c>
      <c r="C11" t="s">
        <v>2</v>
      </c>
      <c r="D11" t="s">
        <v>4</v>
      </c>
      <c r="E11" t="s">
        <v>99</v>
      </c>
      <c r="F11" t="s">
        <v>62</v>
      </c>
      <c r="G11" t="s">
        <v>11</v>
      </c>
      <c r="H11" s="3" t="s">
        <v>275</v>
      </c>
      <c r="I11">
        <v>1</v>
      </c>
      <c r="J11">
        <v>3</v>
      </c>
      <c r="K11">
        <v>2</v>
      </c>
      <c r="N11" t="s">
        <v>175</v>
      </c>
      <c r="O11">
        <v>2</v>
      </c>
    </row>
    <row r="12" spans="1:15" x14ac:dyDescent="0.25">
      <c r="A12">
        <v>4</v>
      </c>
      <c r="B12" t="s">
        <v>105</v>
      </c>
      <c r="C12" t="s">
        <v>2</v>
      </c>
      <c r="D12" t="s">
        <v>4</v>
      </c>
      <c r="E12" t="s">
        <v>98</v>
      </c>
      <c r="F12" t="s">
        <v>58</v>
      </c>
      <c r="G12" t="s">
        <v>11</v>
      </c>
      <c r="H12" s="1" t="s">
        <v>160</v>
      </c>
      <c r="I12">
        <v>1</v>
      </c>
      <c r="J12">
        <v>4</v>
      </c>
      <c r="K12">
        <v>2</v>
      </c>
      <c r="L12" t="s">
        <v>140</v>
      </c>
      <c r="N12" t="s">
        <v>175</v>
      </c>
      <c r="O12">
        <v>4</v>
      </c>
    </row>
    <row r="13" spans="1:15" x14ac:dyDescent="0.25">
      <c r="A13">
        <v>2</v>
      </c>
      <c r="B13" t="s">
        <v>105</v>
      </c>
      <c r="C13" t="s">
        <v>2</v>
      </c>
      <c r="D13" t="s">
        <v>4</v>
      </c>
      <c r="E13" t="s">
        <v>64</v>
      </c>
      <c r="F13" t="s">
        <v>63</v>
      </c>
      <c r="G13" t="s">
        <v>11</v>
      </c>
      <c r="H13" s="1" t="s">
        <v>165</v>
      </c>
      <c r="I13">
        <v>2</v>
      </c>
      <c r="J13">
        <v>5</v>
      </c>
      <c r="K13">
        <v>3</v>
      </c>
      <c r="L13" t="s">
        <v>261</v>
      </c>
      <c r="N13" t="s">
        <v>175</v>
      </c>
      <c r="O13">
        <v>2</v>
      </c>
    </row>
    <row r="14" spans="1:15" x14ac:dyDescent="0.25">
      <c r="A14">
        <v>2</v>
      </c>
      <c r="B14" t="s">
        <v>105</v>
      </c>
      <c r="C14" t="s">
        <v>2</v>
      </c>
      <c r="D14" t="s">
        <v>4</v>
      </c>
      <c r="E14" t="s">
        <v>13</v>
      </c>
      <c r="F14" t="s">
        <v>14</v>
      </c>
      <c r="G14" t="s">
        <v>11</v>
      </c>
      <c r="H14" t="s">
        <v>225</v>
      </c>
      <c r="I14">
        <v>2</v>
      </c>
      <c r="J14">
        <v>5</v>
      </c>
      <c r="K14">
        <v>3</v>
      </c>
      <c r="L14" t="s">
        <v>262</v>
      </c>
      <c r="N14" t="s">
        <v>175</v>
      </c>
      <c r="O14">
        <v>2</v>
      </c>
    </row>
    <row r="15" spans="1:15" x14ac:dyDescent="0.25">
      <c r="A15">
        <v>2</v>
      </c>
      <c r="B15" t="s">
        <v>105</v>
      </c>
      <c r="C15" t="s">
        <v>28</v>
      </c>
      <c r="D15" t="s">
        <v>4</v>
      </c>
      <c r="E15" t="s">
        <v>100</v>
      </c>
      <c r="F15" t="s">
        <v>101</v>
      </c>
      <c r="G15" t="s">
        <v>32</v>
      </c>
      <c r="H15" t="s">
        <v>59</v>
      </c>
      <c r="I15" s="1">
        <v>0</v>
      </c>
      <c r="J15">
        <v>2</v>
      </c>
      <c r="K15">
        <v>1</v>
      </c>
      <c r="L15" t="s">
        <v>138</v>
      </c>
      <c r="N15" t="s">
        <v>175</v>
      </c>
      <c r="O15">
        <v>2</v>
      </c>
    </row>
    <row r="16" spans="1:15" x14ac:dyDescent="0.25">
      <c r="A16">
        <v>4</v>
      </c>
      <c r="B16" t="s">
        <v>105</v>
      </c>
      <c r="C16" t="s">
        <v>28</v>
      </c>
      <c r="D16" t="s">
        <v>4</v>
      </c>
      <c r="E16" t="s">
        <v>237</v>
      </c>
      <c r="F16" t="s">
        <v>60</v>
      </c>
      <c r="G16" t="s">
        <v>32</v>
      </c>
      <c r="H16" s="1" t="s">
        <v>61</v>
      </c>
      <c r="I16">
        <v>1</v>
      </c>
      <c r="J16">
        <v>3</v>
      </c>
      <c r="K16">
        <v>2</v>
      </c>
      <c r="N16" t="s">
        <v>175</v>
      </c>
      <c r="O16">
        <v>4</v>
      </c>
    </row>
    <row r="17" spans="1:15" x14ac:dyDescent="0.25">
      <c r="A17">
        <v>4</v>
      </c>
      <c r="B17" t="s">
        <v>105</v>
      </c>
      <c r="C17" t="s">
        <v>3</v>
      </c>
      <c r="D17" t="s">
        <v>4</v>
      </c>
      <c r="E17" t="s">
        <v>102</v>
      </c>
      <c r="F17" t="s">
        <v>73</v>
      </c>
      <c r="G17" t="s">
        <v>26</v>
      </c>
      <c r="H17" s="1" t="s">
        <v>184</v>
      </c>
      <c r="I17" t="s">
        <v>183</v>
      </c>
      <c r="J17">
        <v>3</v>
      </c>
      <c r="K17">
        <v>2</v>
      </c>
      <c r="L17" t="s">
        <v>142</v>
      </c>
      <c r="N17" t="s">
        <v>175</v>
      </c>
      <c r="O17">
        <v>4</v>
      </c>
    </row>
    <row r="18" spans="1:15" x14ac:dyDescent="0.25">
      <c r="A18">
        <v>2</v>
      </c>
      <c r="B18" t="s">
        <v>105</v>
      </c>
      <c r="C18" t="s">
        <v>3</v>
      </c>
      <c r="D18" t="s">
        <v>4</v>
      </c>
      <c r="E18" t="s">
        <v>103</v>
      </c>
      <c r="F18" t="s">
        <v>74</v>
      </c>
      <c r="G18" t="s">
        <v>26</v>
      </c>
      <c r="H18" t="s">
        <v>75</v>
      </c>
      <c r="I18">
        <v>2</v>
      </c>
      <c r="J18">
        <v>5</v>
      </c>
      <c r="K18">
        <v>3</v>
      </c>
      <c r="L18" t="s">
        <v>141</v>
      </c>
      <c r="N18" t="s">
        <v>175</v>
      </c>
      <c r="O18">
        <v>2</v>
      </c>
    </row>
    <row r="19" spans="1:15" x14ac:dyDescent="0.25">
      <c r="A19">
        <v>2</v>
      </c>
      <c r="B19" t="s">
        <v>105</v>
      </c>
      <c r="C19" t="s">
        <v>3</v>
      </c>
      <c r="D19" t="s">
        <v>4</v>
      </c>
      <c r="E19" t="s">
        <v>191</v>
      </c>
      <c r="F19" t="s">
        <v>190</v>
      </c>
      <c r="G19" t="s">
        <v>26</v>
      </c>
      <c r="H19" t="s">
        <v>193</v>
      </c>
      <c r="I19" t="s">
        <v>183</v>
      </c>
      <c r="J19">
        <v>6</v>
      </c>
      <c r="K19">
        <v>4</v>
      </c>
      <c r="L19" t="s">
        <v>263</v>
      </c>
      <c r="N19" t="s">
        <v>175</v>
      </c>
      <c r="O19">
        <v>2</v>
      </c>
    </row>
    <row r="20" spans="1:15" x14ac:dyDescent="0.25">
      <c r="A20">
        <v>4</v>
      </c>
      <c r="B20" t="s">
        <v>105</v>
      </c>
      <c r="C20" t="s">
        <v>5</v>
      </c>
      <c r="D20" t="s">
        <v>29</v>
      </c>
      <c r="E20" t="s">
        <v>185</v>
      </c>
      <c r="F20" t="s">
        <v>186</v>
      </c>
      <c r="G20" t="s">
        <v>29</v>
      </c>
      <c r="H20" s="1" t="s">
        <v>194</v>
      </c>
      <c r="K20">
        <v>5</v>
      </c>
      <c r="N20" t="s">
        <v>175</v>
      </c>
      <c r="O20">
        <v>4</v>
      </c>
    </row>
    <row r="21" spans="1:15" x14ac:dyDescent="0.25">
      <c r="A21">
        <v>3</v>
      </c>
      <c r="B21" t="s">
        <v>105</v>
      </c>
      <c r="C21" t="s">
        <v>3</v>
      </c>
      <c r="D21" t="s">
        <v>29</v>
      </c>
      <c r="E21" t="s">
        <v>55</v>
      </c>
      <c r="F21" t="s">
        <v>30</v>
      </c>
      <c r="G21" t="s">
        <v>29</v>
      </c>
      <c r="H21" t="s">
        <v>31</v>
      </c>
      <c r="J21" s="1"/>
      <c r="K21">
        <v>5</v>
      </c>
      <c r="N21" t="s">
        <v>175</v>
      </c>
      <c r="O21">
        <v>3</v>
      </c>
    </row>
    <row r="22" spans="1:15" x14ac:dyDescent="0.25">
      <c r="A22">
        <v>3</v>
      </c>
      <c r="B22" t="s">
        <v>105</v>
      </c>
      <c r="C22" t="s">
        <v>28</v>
      </c>
      <c r="D22" t="s">
        <v>29</v>
      </c>
      <c r="E22" t="s">
        <v>87</v>
      </c>
      <c r="F22" t="s">
        <v>86</v>
      </c>
      <c r="G22" t="s">
        <v>29</v>
      </c>
      <c r="H22" t="s">
        <v>143</v>
      </c>
      <c r="K22">
        <v>3</v>
      </c>
      <c r="N22" t="s">
        <v>175</v>
      </c>
      <c r="O22">
        <v>3</v>
      </c>
    </row>
    <row r="23" spans="1:15" x14ac:dyDescent="0.25">
      <c r="A23">
        <v>3</v>
      </c>
      <c r="B23" t="s">
        <v>105</v>
      </c>
      <c r="C23" t="s">
        <v>28</v>
      </c>
      <c r="D23" t="s">
        <v>29</v>
      </c>
      <c r="E23" t="s">
        <v>137</v>
      </c>
      <c r="F23" t="s">
        <v>134</v>
      </c>
      <c r="G23" t="s">
        <v>135</v>
      </c>
      <c r="H23" t="s">
        <v>136</v>
      </c>
      <c r="N23" t="s">
        <v>175</v>
      </c>
      <c r="O23">
        <v>3</v>
      </c>
    </row>
    <row r="24" spans="1:15" x14ac:dyDescent="0.25">
      <c r="A24">
        <v>2</v>
      </c>
      <c r="B24" t="s">
        <v>105</v>
      </c>
      <c r="C24" t="s">
        <v>18</v>
      </c>
      <c r="D24" t="s">
        <v>83</v>
      </c>
      <c r="E24" t="s">
        <v>92</v>
      </c>
      <c r="F24" t="s">
        <v>91</v>
      </c>
      <c r="G24" t="s">
        <v>20</v>
      </c>
      <c r="H24" s="1" t="s">
        <v>164</v>
      </c>
      <c r="J24">
        <v>4</v>
      </c>
      <c r="K24">
        <v>2</v>
      </c>
      <c r="N24" t="s">
        <v>175</v>
      </c>
      <c r="O24">
        <v>2</v>
      </c>
    </row>
    <row r="25" spans="1:15" x14ac:dyDescent="0.25">
      <c r="A25">
        <v>2</v>
      </c>
      <c r="B25" t="s">
        <v>105</v>
      </c>
      <c r="C25" t="s">
        <v>5</v>
      </c>
      <c r="D25" t="s">
        <v>83</v>
      </c>
      <c r="E25" t="s">
        <v>90</v>
      </c>
      <c r="F25" t="s">
        <v>88</v>
      </c>
      <c r="G25" t="s">
        <v>89</v>
      </c>
      <c r="H25" t="s">
        <v>264</v>
      </c>
      <c r="J25">
        <v>4</v>
      </c>
      <c r="K25">
        <v>2</v>
      </c>
      <c r="N25" t="s">
        <v>175</v>
      </c>
      <c r="O25">
        <v>2</v>
      </c>
    </row>
    <row r="26" spans="1:15" x14ac:dyDescent="0.25">
      <c r="A26">
        <v>2</v>
      </c>
      <c r="B26" t="s">
        <v>105</v>
      </c>
      <c r="C26" t="s">
        <v>2</v>
      </c>
      <c r="D26" t="s">
        <v>83</v>
      </c>
      <c r="E26" t="s">
        <v>95</v>
      </c>
      <c r="F26" t="s">
        <v>96</v>
      </c>
      <c r="G26" t="s">
        <v>11</v>
      </c>
      <c r="H26" s="1" t="s">
        <v>163</v>
      </c>
      <c r="J26">
        <v>4</v>
      </c>
      <c r="K26">
        <v>2</v>
      </c>
      <c r="N26" t="s">
        <v>175</v>
      </c>
      <c r="O26">
        <v>2</v>
      </c>
    </row>
    <row r="27" spans="1:15" x14ac:dyDescent="0.25">
      <c r="A27">
        <v>2</v>
      </c>
      <c r="B27" t="s">
        <v>105</v>
      </c>
      <c r="C27" t="s">
        <v>28</v>
      </c>
      <c r="D27" t="s">
        <v>83</v>
      </c>
      <c r="E27" t="s">
        <v>85</v>
      </c>
      <c r="F27" t="s">
        <v>84</v>
      </c>
      <c r="G27" t="s">
        <v>32</v>
      </c>
      <c r="H27" t="s">
        <v>168</v>
      </c>
      <c r="J27">
        <v>4</v>
      </c>
      <c r="K27">
        <v>2</v>
      </c>
      <c r="N27" t="s">
        <v>175</v>
      </c>
      <c r="O27">
        <v>2</v>
      </c>
    </row>
    <row r="28" spans="1:15" x14ac:dyDescent="0.25">
      <c r="A28">
        <v>2</v>
      </c>
      <c r="B28" t="s">
        <v>105</v>
      </c>
      <c r="C28" t="s">
        <v>3</v>
      </c>
      <c r="D28" t="s">
        <v>83</v>
      </c>
      <c r="E28" t="s">
        <v>94</v>
      </c>
      <c r="F28" t="s">
        <v>93</v>
      </c>
      <c r="G28" t="s">
        <v>26</v>
      </c>
      <c r="H28" s="1" t="s">
        <v>162</v>
      </c>
      <c r="J28">
        <v>4</v>
      </c>
      <c r="K28">
        <v>2</v>
      </c>
      <c r="N28" t="s">
        <v>175</v>
      </c>
      <c r="O28">
        <v>2</v>
      </c>
    </row>
    <row r="29" spans="1:15" x14ac:dyDescent="0.25">
      <c r="A29">
        <v>2</v>
      </c>
      <c r="B29" t="s">
        <v>105</v>
      </c>
      <c r="C29" t="s">
        <v>18</v>
      </c>
      <c r="D29" t="s">
        <v>144</v>
      </c>
      <c r="E29" t="s">
        <v>57</v>
      </c>
      <c r="F29" t="s">
        <v>56</v>
      </c>
      <c r="G29" t="s">
        <v>20</v>
      </c>
      <c r="H29" t="s">
        <v>41</v>
      </c>
      <c r="I29">
        <v>3</v>
      </c>
      <c r="J29">
        <v>6</v>
      </c>
      <c r="K29">
        <v>4</v>
      </c>
      <c r="N29" t="s">
        <v>144</v>
      </c>
      <c r="O29">
        <v>2</v>
      </c>
    </row>
    <row r="30" spans="1:15" x14ac:dyDescent="0.25">
      <c r="A30">
        <v>4</v>
      </c>
      <c r="B30" t="s">
        <v>105</v>
      </c>
      <c r="C30" t="s">
        <v>216</v>
      </c>
      <c r="D30" t="s">
        <v>144</v>
      </c>
      <c r="E30" t="s">
        <v>43</v>
      </c>
      <c r="F30" t="s">
        <v>42</v>
      </c>
      <c r="G30" t="s">
        <v>217</v>
      </c>
      <c r="H30" t="s">
        <v>44</v>
      </c>
      <c r="I30">
        <v>2</v>
      </c>
      <c r="J30">
        <v>4</v>
      </c>
      <c r="K30">
        <v>2</v>
      </c>
      <c r="M30" t="s">
        <v>196</v>
      </c>
      <c r="N30" t="s">
        <v>144</v>
      </c>
      <c r="O30">
        <v>4</v>
      </c>
    </row>
    <row r="31" spans="1:15" x14ac:dyDescent="0.25">
      <c r="A31">
        <v>3</v>
      </c>
      <c r="B31" t="s">
        <v>105</v>
      </c>
      <c r="C31" t="s">
        <v>5</v>
      </c>
      <c r="D31" t="s">
        <v>144</v>
      </c>
      <c r="E31" t="s">
        <v>49</v>
      </c>
      <c r="F31" t="s">
        <v>52</v>
      </c>
      <c r="G31" t="s">
        <v>38</v>
      </c>
      <c r="H31" t="s">
        <v>97</v>
      </c>
      <c r="I31">
        <v>3</v>
      </c>
      <c r="J31">
        <v>5</v>
      </c>
      <c r="K31">
        <v>3</v>
      </c>
      <c r="N31" t="s">
        <v>144</v>
      </c>
      <c r="O31">
        <v>3</v>
      </c>
    </row>
    <row r="32" spans="1:15" x14ac:dyDescent="0.25">
      <c r="A32">
        <v>3</v>
      </c>
      <c r="B32" t="s">
        <v>105</v>
      </c>
      <c r="C32" t="s">
        <v>5</v>
      </c>
      <c r="D32" t="s">
        <v>144</v>
      </c>
      <c r="E32" t="s">
        <v>50</v>
      </c>
      <c r="F32" t="s">
        <v>51</v>
      </c>
      <c r="G32" t="s">
        <v>23</v>
      </c>
      <c r="H32" s="1" t="s">
        <v>161</v>
      </c>
      <c r="I32">
        <v>2</v>
      </c>
      <c r="J32">
        <v>5</v>
      </c>
      <c r="K32">
        <v>3</v>
      </c>
      <c r="N32" t="s">
        <v>144</v>
      </c>
      <c r="O32">
        <v>3</v>
      </c>
    </row>
    <row r="33" spans="1:15" x14ac:dyDescent="0.25">
      <c r="A33">
        <v>4</v>
      </c>
      <c r="B33" t="s">
        <v>105</v>
      </c>
      <c r="C33" t="s">
        <v>2</v>
      </c>
      <c r="D33" t="s">
        <v>144</v>
      </c>
      <c r="E33" t="s">
        <v>53</v>
      </c>
      <c r="F33" t="s">
        <v>54</v>
      </c>
      <c r="G33" t="s">
        <v>11</v>
      </c>
      <c r="H33" s="1" t="s">
        <v>273</v>
      </c>
      <c r="I33">
        <v>2</v>
      </c>
      <c r="J33">
        <v>5</v>
      </c>
      <c r="K33">
        <v>3</v>
      </c>
      <c r="N33" t="s">
        <v>144</v>
      </c>
      <c r="O33">
        <v>4</v>
      </c>
    </row>
    <row r="34" spans="1:15" x14ac:dyDescent="0.25">
      <c r="A34">
        <v>2</v>
      </c>
      <c r="B34" t="s">
        <v>105</v>
      </c>
      <c r="C34" t="s">
        <v>2</v>
      </c>
      <c r="D34" t="s">
        <v>144</v>
      </c>
      <c r="E34" t="s">
        <v>7</v>
      </c>
      <c r="F34" t="s">
        <v>10</v>
      </c>
      <c r="G34" t="s">
        <v>11</v>
      </c>
      <c r="H34" t="s">
        <v>274</v>
      </c>
      <c r="I34">
        <v>4</v>
      </c>
      <c r="J34">
        <v>7</v>
      </c>
      <c r="K34">
        <v>5</v>
      </c>
      <c r="N34" t="s">
        <v>144</v>
      </c>
      <c r="O34">
        <v>2</v>
      </c>
    </row>
    <row r="35" spans="1:15" x14ac:dyDescent="0.25">
      <c r="A35">
        <v>4</v>
      </c>
      <c r="B35" t="s">
        <v>105</v>
      </c>
      <c r="C35" t="s">
        <v>28</v>
      </c>
      <c r="D35" t="s">
        <v>144</v>
      </c>
      <c r="E35" t="s">
        <v>238</v>
      </c>
      <c r="F35" t="s">
        <v>33</v>
      </c>
      <c r="G35" t="s">
        <v>32</v>
      </c>
      <c r="H35" s="1" t="s">
        <v>37</v>
      </c>
      <c r="I35">
        <v>1</v>
      </c>
      <c r="J35">
        <v>3</v>
      </c>
      <c r="K35">
        <v>1</v>
      </c>
      <c r="N35" t="s">
        <v>144</v>
      </c>
      <c r="O35">
        <v>4</v>
      </c>
    </row>
    <row r="36" spans="1:15" x14ac:dyDescent="0.25">
      <c r="A36">
        <v>2</v>
      </c>
      <c r="B36" t="s">
        <v>105</v>
      </c>
      <c r="C36" t="s">
        <v>28</v>
      </c>
      <c r="D36" t="s">
        <v>144</v>
      </c>
      <c r="E36" t="s">
        <v>107</v>
      </c>
      <c r="F36" t="s">
        <v>106</v>
      </c>
      <c r="G36" t="s">
        <v>32</v>
      </c>
      <c r="H36" s="1" t="s">
        <v>37</v>
      </c>
      <c r="I36">
        <v>2</v>
      </c>
      <c r="J36">
        <v>5</v>
      </c>
      <c r="K36">
        <v>3</v>
      </c>
      <c r="N36" t="s">
        <v>144</v>
      </c>
      <c r="O36">
        <v>2</v>
      </c>
    </row>
    <row r="37" spans="1:15" x14ac:dyDescent="0.25">
      <c r="A37">
        <v>2</v>
      </c>
      <c r="B37" t="s">
        <v>105</v>
      </c>
      <c r="C37" t="s">
        <v>28</v>
      </c>
      <c r="D37" t="s">
        <v>144</v>
      </c>
      <c r="E37" t="s">
        <v>239</v>
      </c>
      <c r="F37" t="s">
        <v>34</v>
      </c>
      <c r="G37" t="s">
        <v>32</v>
      </c>
      <c r="H37" t="s">
        <v>226</v>
      </c>
      <c r="I37">
        <v>3</v>
      </c>
      <c r="J37">
        <v>6</v>
      </c>
      <c r="K37">
        <v>4</v>
      </c>
      <c r="N37" t="s">
        <v>144</v>
      </c>
      <c r="O37">
        <v>2</v>
      </c>
    </row>
    <row r="38" spans="1:15" x14ac:dyDescent="0.25">
      <c r="A38">
        <v>4</v>
      </c>
      <c r="B38" t="s">
        <v>105</v>
      </c>
      <c r="C38" t="s">
        <v>3</v>
      </c>
      <c r="D38" t="s">
        <v>144</v>
      </c>
      <c r="E38" t="s">
        <v>47</v>
      </c>
      <c r="F38" t="s">
        <v>48</v>
      </c>
      <c r="G38" t="s">
        <v>26</v>
      </c>
      <c r="H38" t="s">
        <v>39</v>
      </c>
      <c r="I38">
        <v>1</v>
      </c>
      <c r="J38">
        <v>3</v>
      </c>
      <c r="K38">
        <v>1</v>
      </c>
      <c r="N38" t="s">
        <v>144</v>
      </c>
      <c r="O38">
        <v>4</v>
      </c>
    </row>
    <row r="39" spans="1:15" x14ac:dyDescent="0.25">
      <c r="A39">
        <v>2</v>
      </c>
      <c r="B39" t="s">
        <v>105</v>
      </c>
      <c r="C39" t="s">
        <v>3</v>
      </c>
      <c r="D39" t="s">
        <v>144</v>
      </c>
      <c r="E39" t="s">
        <v>46</v>
      </c>
      <c r="F39" t="s">
        <v>45</v>
      </c>
      <c r="G39" t="s">
        <v>26</v>
      </c>
      <c r="H39" t="s">
        <v>40</v>
      </c>
      <c r="I39">
        <v>3</v>
      </c>
      <c r="J39">
        <v>6</v>
      </c>
      <c r="K39">
        <v>4</v>
      </c>
      <c r="N39" t="s">
        <v>144</v>
      </c>
      <c r="O39">
        <v>2</v>
      </c>
    </row>
    <row r="40" spans="1:15" x14ac:dyDescent="0.25">
      <c r="A40">
        <v>2</v>
      </c>
      <c r="B40" t="s">
        <v>105</v>
      </c>
      <c r="C40" t="s">
        <v>3</v>
      </c>
      <c r="D40" t="s">
        <v>144</v>
      </c>
      <c r="E40" t="s">
        <v>27</v>
      </c>
      <c r="F40" t="s">
        <v>25</v>
      </c>
      <c r="G40" t="s">
        <v>26</v>
      </c>
      <c r="H40" t="s">
        <v>82</v>
      </c>
      <c r="I40">
        <v>4</v>
      </c>
      <c r="J40">
        <v>7</v>
      </c>
      <c r="K40">
        <v>5</v>
      </c>
      <c r="N40" t="s">
        <v>144</v>
      </c>
      <c r="O40">
        <v>2</v>
      </c>
    </row>
    <row r="41" spans="1:15" x14ac:dyDescent="0.25">
      <c r="A41">
        <v>2</v>
      </c>
      <c r="B41" t="s">
        <v>105</v>
      </c>
      <c r="C41" t="s">
        <v>253</v>
      </c>
      <c r="D41" t="s">
        <v>4</v>
      </c>
      <c r="E41" t="s">
        <v>252</v>
      </c>
      <c r="F41" t="s">
        <v>254</v>
      </c>
      <c r="G41" t="s">
        <v>249</v>
      </c>
      <c r="H41" s="1" t="s">
        <v>251</v>
      </c>
      <c r="I41">
        <v>0</v>
      </c>
      <c r="J41">
        <v>5</v>
      </c>
      <c r="K41">
        <v>3</v>
      </c>
      <c r="L41" t="s">
        <v>250</v>
      </c>
      <c r="M41" t="s">
        <v>196</v>
      </c>
      <c r="N41" t="s">
        <v>175</v>
      </c>
      <c r="O41">
        <v>2</v>
      </c>
    </row>
    <row r="42" spans="1:15" x14ac:dyDescent="0.25">
      <c r="A42">
        <v>2</v>
      </c>
      <c r="B42" t="s">
        <v>105</v>
      </c>
      <c r="C42" t="s">
        <v>28</v>
      </c>
      <c r="D42" t="s">
        <v>4</v>
      </c>
      <c r="E42" t="s">
        <v>229</v>
      </c>
      <c r="F42" t="s">
        <v>154</v>
      </c>
      <c r="G42" t="s">
        <v>32</v>
      </c>
      <c r="H42" t="s">
        <v>37</v>
      </c>
      <c r="I42">
        <v>2</v>
      </c>
      <c r="K42">
        <v>3</v>
      </c>
      <c r="L42" t="s">
        <v>155</v>
      </c>
      <c r="N42" t="s">
        <v>177</v>
      </c>
      <c r="O42">
        <v>2</v>
      </c>
    </row>
    <row r="43" spans="1:15" x14ac:dyDescent="0.25">
      <c r="A43">
        <v>3</v>
      </c>
      <c r="B43" t="s">
        <v>105</v>
      </c>
      <c r="C43" t="s">
        <v>28</v>
      </c>
      <c r="D43" t="s">
        <v>144</v>
      </c>
      <c r="E43" t="s">
        <v>230</v>
      </c>
      <c r="F43" t="s">
        <v>153</v>
      </c>
      <c r="G43" t="s">
        <v>32</v>
      </c>
      <c r="H43" t="s">
        <v>37</v>
      </c>
      <c r="I43">
        <v>1</v>
      </c>
      <c r="K43">
        <v>2</v>
      </c>
      <c r="N43" t="s">
        <v>176</v>
      </c>
      <c r="O43">
        <v>3</v>
      </c>
    </row>
    <row r="44" spans="1:15" x14ac:dyDescent="0.25">
      <c r="A44">
        <v>4</v>
      </c>
      <c r="B44" t="s">
        <v>105</v>
      </c>
      <c r="C44" t="s">
        <v>28</v>
      </c>
      <c r="D44" t="s">
        <v>29</v>
      </c>
      <c r="E44" t="s">
        <v>232</v>
      </c>
      <c r="F44" t="s">
        <v>146</v>
      </c>
      <c r="G44" t="s">
        <v>29</v>
      </c>
      <c r="H44" t="s">
        <v>145</v>
      </c>
      <c r="K44">
        <v>2</v>
      </c>
      <c r="N44" t="s">
        <v>177</v>
      </c>
      <c r="O44">
        <v>4</v>
      </c>
    </row>
    <row r="45" spans="1:15" x14ac:dyDescent="0.25">
      <c r="A45">
        <v>4</v>
      </c>
      <c r="B45" t="s">
        <v>105</v>
      </c>
      <c r="C45" t="s">
        <v>28</v>
      </c>
      <c r="D45" t="s">
        <v>4</v>
      </c>
      <c r="E45" t="s">
        <v>233</v>
      </c>
      <c r="F45" t="s">
        <v>148</v>
      </c>
      <c r="G45" t="s">
        <v>32</v>
      </c>
      <c r="H45" t="s">
        <v>37</v>
      </c>
      <c r="I45">
        <v>1</v>
      </c>
      <c r="K45">
        <v>2</v>
      </c>
      <c r="N45" t="s">
        <v>177</v>
      </c>
      <c r="O45">
        <v>4</v>
      </c>
    </row>
    <row r="46" spans="1:15" x14ac:dyDescent="0.25">
      <c r="A46">
        <v>2</v>
      </c>
      <c r="B46" t="s">
        <v>105</v>
      </c>
      <c r="C46" t="s">
        <v>28</v>
      </c>
      <c r="D46" t="s">
        <v>29</v>
      </c>
      <c r="E46" t="s">
        <v>234</v>
      </c>
      <c r="F46" t="s">
        <v>147</v>
      </c>
      <c r="G46" t="s">
        <v>29</v>
      </c>
      <c r="H46" t="s">
        <v>149</v>
      </c>
      <c r="K46">
        <v>2</v>
      </c>
      <c r="N46" t="s">
        <v>177</v>
      </c>
      <c r="O46">
        <v>2</v>
      </c>
    </row>
    <row r="47" spans="1:15" x14ac:dyDescent="0.25">
      <c r="A47">
        <v>2</v>
      </c>
      <c r="B47" t="s">
        <v>105</v>
      </c>
      <c r="C47" t="s">
        <v>28</v>
      </c>
      <c r="D47" t="s">
        <v>29</v>
      </c>
      <c r="E47" t="s">
        <v>231</v>
      </c>
      <c r="F47" t="s">
        <v>150</v>
      </c>
      <c r="G47" t="s">
        <v>29</v>
      </c>
      <c r="H47" t="s">
        <v>151</v>
      </c>
      <c r="K47">
        <v>2</v>
      </c>
      <c r="N47" t="s">
        <v>177</v>
      </c>
      <c r="O47">
        <v>2</v>
      </c>
    </row>
    <row r="48" spans="1:15" x14ac:dyDescent="0.25">
      <c r="A48">
        <v>2</v>
      </c>
      <c r="B48" t="s">
        <v>105</v>
      </c>
      <c r="C48" t="s">
        <v>28</v>
      </c>
      <c r="D48" t="s">
        <v>29</v>
      </c>
      <c r="E48" t="s">
        <v>236</v>
      </c>
      <c r="F48" t="s">
        <v>235</v>
      </c>
      <c r="G48" t="s">
        <v>29</v>
      </c>
      <c r="H48" t="s">
        <v>152</v>
      </c>
      <c r="K48">
        <v>2</v>
      </c>
      <c r="N48" t="s">
        <v>177</v>
      </c>
      <c r="O48">
        <v>2</v>
      </c>
    </row>
  </sheetData>
  <autoFilter ref="A1:O1" xr:uid="{A2A7148F-73E8-45E0-8B75-B6872BC64030}">
    <sortState xmlns:xlrd2="http://schemas.microsoft.com/office/spreadsheetml/2017/richdata2" ref="A2:O40">
      <sortCondition ref="D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B8B7-0D17-48A9-B9EE-01B7070CAD08}">
  <dimension ref="A1:N9"/>
  <sheetViews>
    <sheetView zoomScaleNormal="100" workbookViewId="0">
      <selection activeCell="F27" sqref="F27"/>
    </sheetView>
  </sheetViews>
  <sheetFormatPr defaultRowHeight="15" x14ac:dyDescent="0.25"/>
  <cols>
    <col min="3" max="3" width="7.5703125" bestFit="1" customWidth="1"/>
    <col min="4" max="4" width="9.5703125" bestFit="1" customWidth="1"/>
    <col min="5" max="5" width="20.5703125" customWidth="1"/>
    <col min="6" max="6" width="26" bestFit="1" customWidth="1"/>
    <col min="7" max="7" width="18.42578125" bestFit="1" customWidth="1"/>
    <col min="8" max="8" width="105.28515625" customWidth="1"/>
    <col min="12" max="12" width="24" customWidth="1"/>
    <col min="13" max="13" width="15.5703125" customWidth="1"/>
  </cols>
  <sheetData>
    <row r="1" spans="1:14" x14ac:dyDescent="0.25">
      <c r="B1" t="s">
        <v>104</v>
      </c>
      <c r="C1" t="s">
        <v>1</v>
      </c>
      <c r="D1" t="s">
        <v>0</v>
      </c>
      <c r="E1" t="s">
        <v>6</v>
      </c>
      <c r="F1" t="s">
        <v>8</v>
      </c>
      <c r="G1" t="s">
        <v>17</v>
      </c>
      <c r="H1" t="s">
        <v>9</v>
      </c>
      <c r="I1" t="s">
        <v>12</v>
      </c>
      <c r="J1" t="s">
        <v>15</v>
      </c>
      <c r="K1" t="s">
        <v>16</v>
      </c>
      <c r="L1" t="s">
        <v>120</v>
      </c>
      <c r="M1" t="s">
        <v>174</v>
      </c>
      <c r="N1" t="s">
        <v>182</v>
      </c>
    </row>
    <row r="2" spans="1:14" x14ac:dyDescent="0.25">
      <c r="A2">
        <v>1</v>
      </c>
      <c r="B2" t="s">
        <v>105</v>
      </c>
      <c r="C2" t="s">
        <v>28</v>
      </c>
      <c r="D2" t="s">
        <v>4</v>
      </c>
      <c r="E2" t="s">
        <v>229</v>
      </c>
      <c r="F2" t="s">
        <v>154</v>
      </c>
      <c r="G2" t="s">
        <v>32</v>
      </c>
      <c r="H2" t="s">
        <v>37</v>
      </c>
      <c r="I2">
        <v>2</v>
      </c>
      <c r="K2">
        <v>3</v>
      </c>
      <c r="L2" t="s">
        <v>155</v>
      </c>
      <c r="M2" t="s">
        <v>177</v>
      </c>
      <c r="N2">
        <f>A2</f>
        <v>1</v>
      </c>
    </row>
    <row r="3" spans="1:14" x14ac:dyDescent="0.25">
      <c r="A3">
        <v>1</v>
      </c>
      <c r="B3" t="s">
        <v>105</v>
      </c>
      <c r="C3" t="s">
        <v>28</v>
      </c>
      <c r="D3" t="s">
        <v>144</v>
      </c>
      <c r="E3" t="s">
        <v>230</v>
      </c>
      <c r="F3" t="s">
        <v>153</v>
      </c>
      <c r="G3" t="s">
        <v>32</v>
      </c>
      <c r="H3" t="s">
        <v>37</v>
      </c>
      <c r="I3">
        <v>1</v>
      </c>
      <c r="K3">
        <v>2</v>
      </c>
      <c r="M3" t="s">
        <v>176</v>
      </c>
      <c r="N3">
        <f t="shared" ref="N3:N9" si="0">A3</f>
        <v>1</v>
      </c>
    </row>
    <row r="4" spans="1:14" x14ac:dyDescent="0.25">
      <c r="A4">
        <v>2</v>
      </c>
      <c r="B4" t="s">
        <v>105</v>
      </c>
      <c r="C4" t="s">
        <v>28</v>
      </c>
      <c r="D4" t="s">
        <v>29</v>
      </c>
      <c r="E4" t="s">
        <v>232</v>
      </c>
      <c r="F4" t="s">
        <v>146</v>
      </c>
      <c r="G4" t="s">
        <v>29</v>
      </c>
      <c r="H4" t="s">
        <v>145</v>
      </c>
      <c r="K4">
        <v>2</v>
      </c>
      <c r="M4" t="s">
        <v>177</v>
      </c>
      <c r="N4">
        <f t="shared" si="0"/>
        <v>2</v>
      </c>
    </row>
    <row r="5" spans="1:14" x14ac:dyDescent="0.25">
      <c r="A5">
        <v>1</v>
      </c>
      <c r="B5" t="s">
        <v>105</v>
      </c>
      <c r="C5" t="s">
        <v>28</v>
      </c>
      <c r="D5" t="s">
        <v>4</v>
      </c>
      <c r="E5" t="s">
        <v>100</v>
      </c>
      <c r="F5" t="s">
        <v>101</v>
      </c>
      <c r="G5" t="s">
        <v>32</v>
      </c>
      <c r="H5" t="s">
        <v>59</v>
      </c>
      <c r="I5">
        <v>0</v>
      </c>
      <c r="J5">
        <v>2</v>
      </c>
      <c r="K5">
        <v>1</v>
      </c>
      <c r="L5" t="s">
        <v>138</v>
      </c>
      <c r="M5" t="s">
        <v>177</v>
      </c>
      <c r="N5">
        <f t="shared" si="0"/>
        <v>1</v>
      </c>
    </row>
    <row r="6" spans="1:14" x14ac:dyDescent="0.25">
      <c r="A6">
        <v>2</v>
      </c>
      <c r="B6" t="s">
        <v>105</v>
      </c>
      <c r="C6" t="s">
        <v>28</v>
      </c>
      <c r="D6" t="s">
        <v>4</v>
      </c>
      <c r="E6" t="s">
        <v>233</v>
      </c>
      <c r="F6" t="s">
        <v>148</v>
      </c>
      <c r="G6" t="s">
        <v>32</v>
      </c>
      <c r="H6" t="s">
        <v>37</v>
      </c>
      <c r="I6">
        <v>1</v>
      </c>
      <c r="K6">
        <v>2</v>
      </c>
      <c r="M6" t="s">
        <v>177</v>
      </c>
      <c r="N6">
        <f t="shared" si="0"/>
        <v>2</v>
      </c>
    </row>
    <row r="7" spans="1:14" x14ac:dyDescent="0.25">
      <c r="A7">
        <v>1</v>
      </c>
      <c r="B7" t="s">
        <v>105</v>
      </c>
      <c r="C7" t="s">
        <v>28</v>
      </c>
      <c r="D7" t="s">
        <v>29</v>
      </c>
      <c r="E7" t="s">
        <v>234</v>
      </c>
      <c r="F7" t="s">
        <v>147</v>
      </c>
      <c r="G7" t="s">
        <v>29</v>
      </c>
      <c r="H7" t="s">
        <v>149</v>
      </c>
      <c r="K7">
        <v>2</v>
      </c>
      <c r="M7" t="s">
        <v>177</v>
      </c>
      <c r="N7">
        <f t="shared" si="0"/>
        <v>1</v>
      </c>
    </row>
    <row r="8" spans="1:14" x14ac:dyDescent="0.25">
      <c r="A8">
        <v>1</v>
      </c>
      <c r="B8" t="s">
        <v>105</v>
      </c>
      <c r="C8" t="s">
        <v>28</v>
      </c>
      <c r="D8" t="s">
        <v>29</v>
      </c>
      <c r="E8" t="s">
        <v>231</v>
      </c>
      <c r="F8" t="s">
        <v>150</v>
      </c>
      <c r="G8" t="s">
        <v>29</v>
      </c>
      <c r="H8" t="s">
        <v>151</v>
      </c>
      <c r="K8">
        <v>2</v>
      </c>
      <c r="M8" t="s">
        <v>177</v>
      </c>
      <c r="N8">
        <f t="shared" si="0"/>
        <v>1</v>
      </c>
    </row>
    <row r="9" spans="1:14" x14ac:dyDescent="0.25">
      <c r="A9">
        <v>1</v>
      </c>
      <c r="B9" t="s">
        <v>105</v>
      </c>
      <c r="C9" t="s">
        <v>28</v>
      </c>
      <c r="D9" t="s">
        <v>29</v>
      </c>
      <c r="E9" t="s">
        <v>236</v>
      </c>
      <c r="F9" t="s">
        <v>235</v>
      </c>
      <c r="G9" t="s">
        <v>29</v>
      </c>
      <c r="H9" t="s">
        <v>152</v>
      </c>
      <c r="K9">
        <v>2</v>
      </c>
      <c r="M9" t="s">
        <v>177</v>
      </c>
      <c r="N9">
        <f t="shared" si="0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1C251-B07F-4AF3-A443-61FE0ED6038F}">
  <dimension ref="A1:O39"/>
  <sheetViews>
    <sheetView topLeftCell="E1" zoomScaleNormal="100" workbookViewId="0">
      <selection activeCell="H29" sqref="H29"/>
    </sheetView>
  </sheetViews>
  <sheetFormatPr defaultRowHeight="15" x14ac:dyDescent="0.25"/>
  <cols>
    <col min="4" max="4" width="9.5703125" bestFit="1" customWidth="1"/>
    <col min="5" max="5" width="20" bestFit="1" customWidth="1"/>
    <col min="6" max="6" width="20.7109375" bestFit="1" customWidth="1"/>
    <col min="7" max="7" width="18.42578125" bestFit="1" customWidth="1"/>
    <col min="8" max="8" width="121.7109375" style="2" customWidth="1"/>
    <col min="12" max="12" width="136.85546875" bestFit="1" customWidth="1"/>
    <col min="13" max="13" width="7.5703125" bestFit="1" customWidth="1"/>
  </cols>
  <sheetData>
    <row r="1" spans="1:15" x14ac:dyDescent="0.25">
      <c r="A1" t="s">
        <v>181</v>
      </c>
      <c r="B1" t="s">
        <v>104</v>
      </c>
      <c r="C1" t="s">
        <v>1</v>
      </c>
      <c r="D1" t="s">
        <v>0</v>
      </c>
      <c r="E1" t="s">
        <v>6</v>
      </c>
      <c r="F1" t="s">
        <v>8</v>
      </c>
      <c r="G1" t="s">
        <v>17</v>
      </c>
      <c r="H1" s="2" t="s">
        <v>9</v>
      </c>
      <c r="I1" t="s">
        <v>12</v>
      </c>
      <c r="J1" t="s">
        <v>15</v>
      </c>
      <c r="K1" t="s">
        <v>16</v>
      </c>
      <c r="L1" t="s">
        <v>120</v>
      </c>
      <c r="M1" t="s">
        <v>213</v>
      </c>
      <c r="N1" t="s">
        <v>174</v>
      </c>
      <c r="O1" t="s">
        <v>182</v>
      </c>
    </row>
    <row r="2" spans="1:15" x14ac:dyDescent="0.25">
      <c r="A2">
        <v>2</v>
      </c>
      <c r="B2" t="s">
        <v>197</v>
      </c>
      <c r="C2" t="s">
        <v>215</v>
      </c>
      <c r="D2" t="s">
        <v>4</v>
      </c>
      <c r="E2" t="s">
        <v>270</v>
      </c>
      <c r="F2" t="s">
        <v>199</v>
      </c>
      <c r="G2" t="s">
        <v>200</v>
      </c>
      <c r="H2" s="4" t="s">
        <v>269</v>
      </c>
      <c r="I2" t="s">
        <v>196</v>
      </c>
      <c r="J2">
        <v>5</v>
      </c>
      <c r="K2">
        <v>3</v>
      </c>
      <c r="M2" t="s">
        <v>196</v>
      </c>
      <c r="N2" t="s">
        <v>175</v>
      </c>
      <c r="O2">
        <f t="shared" ref="O2:O11" si="0">A2</f>
        <v>2</v>
      </c>
    </row>
    <row r="3" spans="1:15" x14ac:dyDescent="0.25">
      <c r="A3">
        <v>2</v>
      </c>
      <c r="B3" t="s">
        <v>197</v>
      </c>
      <c r="C3" t="s">
        <v>215</v>
      </c>
      <c r="D3" t="s">
        <v>4</v>
      </c>
      <c r="E3" t="s">
        <v>271</v>
      </c>
      <c r="F3" t="s">
        <v>201</v>
      </c>
      <c r="G3" t="s">
        <v>200</v>
      </c>
      <c r="H3" s="4" t="s">
        <v>202</v>
      </c>
      <c r="I3">
        <v>2</v>
      </c>
      <c r="J3">
        <v>5</v>
      </c>
      <c r="K3">
        <v>3</v>
      </c>
      <c r="M3" t="s">
        <v>196</v>
      </c>
      <c r="N3" t="s">
        <v>175</v>
      </c>
      <c r="O3">
        <f t="shared" si="0"/>
        <v>2</v>
      </c>
    </row>
    <row r="4" spans="1:15" x14ac:dyDescent="0.25">
      <c r="A4">
        <v>2</v>
      </c>
      <c r="B4" t="s">
        <v>197</v>
      </c>
      <c r="C4" t="s">
        <v>198</v>
      </c>
      <c r="D4" t="s">
        <v>4</v>
      </c>
      <c r="E4" t="s">
        <v>204</v>
      </c>
      <c r="F4" t="s">
        <v>203</v>
      </c>
      <c r="G4" t="s">
        <v>195</v>
      </c>
      <c r="H4" s="4" t="s">
        <v>255</v>
      </c>
      <c r="I4">
        <v>2</v>
      </c>
      <c r="J4">
        <v>6</v>
      </c>
      <c r="K4">
        <v>4</v>
      </c>
      <c r="N4" t="s">
        <v>175</v>
      </c>
      <c r="O4">
        <f t="shared" si="0"/>
        <v>2</v>
      </c>
    </row>
    <row r="5" spans="1:15" x14ac:dyDescent="0.25">
      <c r="A5">
        <v>2</v>
      </c>
      <c r="B5" t="s">
        <v>197</v>
      </c>
      <c r="C5" t="s">
        <v>198</v>
      </c>
      <c r="D5" t="s">
        <v>144</v>
      </c>
      <c r="E5" t="s">
        <v>206</v>
      </c>
      <c r="F5" t="s">
        <v>207</v>
      </c>
      <c r="G5" t="s">
        <v>195</v>
      </c>
      <c r="H5" s="4" t="s">
        <v>227</v>
      </c>
      <c r="I5">
        <v>0</v>
      </c>
      <c r="J5">
        <v>4</v>
      </c>
      <c r="K5">
        <v>2</v>
      </c>
      <c r="N5" t="s">
        <v>144</v>
      </c>
      <c r="O5">
        <f t="shared" si="0"/>
        <v>2</v>
      </c>
    </row>
    <row r="6" spans="1:15" x14ac:dyDescent="0.25">
      <c r="A6">
        <v>4</v>
      </c>
      <c r="B6" t="s">
        <v>197</v>
      </c>
      <c r="C6" t="s">
        <v>214</v>
      </c>
      <c r="D6" t="s">
        <v>144</v>
      </c>
      <c r="E6" t="s">
        <v>208</v>
      </c>
      <c r="F6" t="s">
        <v>209</v>
      </c>
      <c r="G6" t="s">
        <v>205</v>
      </c>
      <c r="H6" s="4" t="s">
        <v>228</v>
      </c>
      <c r="I6">
        <v>4</v>
      </c>
      <c r="J6">
        <v>6</v>
      </c>
      <c r="K6">
        <v>4</v>
      </c>
      <c r="M6" t="s">
        <v>196</v>
      </c>
      <c r="N6" t="s">
        <v>144</v>
      </c>
      <c r="O6">
        <f t="shared" si="0"/>
        <v>4</v>
      </c>
    </row>
    <row r="7" spans="1:15" x14ac:dyDescent="0.25">
      <c r="A7">
        <v>2</v>
      </c>
      <c r="B7" t="s">
        <v>197</v>
      </c>
      <c r="C7" t="s">
        <v>218</v>
      </c>
      <c r="D7" t="s">
        <v>4</v>
      </c>
      <c r="E7" t="s">
        <v>221</v>
      </c>
      <c r="F7" t="s">
        <v>219</v>
      </c>
      <c r="G7" t="s">
        <v>220</v>
      </c>
      <c r="H7" s="2" t="s">
        <v>272</v>
      </c>
      <c r="I7">
        <v>1</v>
      </c>
      <c r="J7">
        <v>4</v>
      </c>
      <c r="K7">
        <v>2</v>
      </c>
      <c r="M7" t="s">
        <v>196</v>
      </c>
      <c r="N7" t="s">
        <v>175</v>
      </c>
      <c r="O7">
        <f t="shared" si="0"/>
        <v>2</v>
      </c>
    </row>
    <row r="8" spans="1:15" x14ac:dyDescent="0.25">
      <c r="A8">
        <v>2</v>
      </c>
      <c r="B8" t="s">
        <v>197</v>
      </c>
      <c r="C8" t="s">
        <v>198</v>
      </c>
      <c r="D8" t="s">
        <v>29</v>
      </c>
      <c r="E8" t="s">
        <v>240</v>
      </c>
      <c r="F8" t="s">
        <v>222</v>
      </c>
      <c r="G8" t="s">
        <v>223</v>
      </c>
      <c r="H8" s="4" t="s">
        <v>224</v>
      </c>
      <c r="K8">
        <v>4</v>
      </c>
      <c r="N8" t="s">
        <v>175</v>
      </c>
      <c r="O8">
        <f t="shared" si="0"/>
        <v>2</v>
      </c>
    </row>
    <row r="9" spans="1:15" x14ac:dyDescent="0.25">
      <c r="A9">
        <v>2</v>
      </c>
      <c r="B9" t="s">
        <v>197</v>
      </c>
      <c r="C9" t="s">
        <v>241</v>
      </c>
      <c r="D9" t="s">
        <v>4</v>
      </c>
      <c r="E9" t="s">
        <v>243</v>
      </c>
      <c r="F9" t="s">
        <v>242</v>
      </c>
      <c r="G9" t="s">
        <v>244</v>
      </c>
      <c r="H9" s="4" t="s">
        <v>246</v>
      </c>
      <c r="I9">
        <v>3</v>
      </c>
      <c r="J9">
        <v>7</v>
      </c>
      <c r="K9">
        <v>4</v>
      </c>
      <c r="L9" t="s">
        <v>245</v>
      </c>
      <c r="M9" t="s">
        <v>196</v>
      </c>
      <c r="N9" t="s">
        <v>175</v>
      </c>
      <c r="O9">
        <f t="shared" si="0"/>
        <v>2</v>
      </c>
    </row>
    <row r="10" spans="1:15" x14ac:dyDescent="0.25">
      <c r="A10">
        <v>4</v>
      </c>
      <c r="B10" t="s">
        <v>197</v>
      </c>
      <c r="C10" t="s">
        <v>2</v>
      </c>
      <c r="D10" t="s">
        <v>4</v>
      </c>
      <c r="E10" t="s">
        <v>247</v>
      </c>
      <c r="F10" t="s">
        <v>248</v>
      </c>
      <c r="G10" t="s">
        <v>11</v>
      </c>
      <c r="H10" s="4" t="s">
        <v>268</v>
      </c>
      <c r="I10">
        <v>0</v>
      </c>
      <c r="J10">
        <v>5</v>
      </c>
      <c r="K10">
        <v>3</v>
      </c>
      <c r="N10" t="s">
        <v>175</v>
      </c>
      <c r="O10">
        <f t="shared" si="0"/>
        <v>4</v>
      </c>
    </row>
    <row r="11" spans="1:15" x14ac:dyDescent="0.25">
      <c r="A11">
        <v>2</v>
      </c>
      <c r="B11" t="s">
        <v>197</v>
      </c>
      <c r="C11" t="s">
        <v>198</v>
      </c>
      <c r="D11" t="s">
        <v>29</v>
      </c>
      <c r="E11" t="s">
        <v>265</v>
      </c>
      <c r="F11" t="s">
        <v>266</v>
      </c>
      <c r="G11" t="s">
        <v>223</v>
      </c>
      <c r="H11" s="4" t="s">
        <v>267</v>
      </c>
      <c r="K11">
        <v>4</v>
      </c>
      <c r="N11" t="s">
        <v>175</v>
      </c>
      <c r="O11">
        <f t="shared" si="0"/>
        <v>2</v>
      </c>
    </row>
    <row r="14" spans="1:15" x14ac:dyDescent="0.25">
      <c r="H14" s="4"/>
    </row>
    <row r="16" spans="1:15" x14ac:dyDescent="0.25">
      <c r="H16" s="4"/>
    </row>
    <row r="18" spans="8:10" x14ac:dyDescent="0.25">
      <c r="H18" s="4"/>
    </row>
    <row r="19" spans="8:10" x14ac:dyDescent="0.25">
      <c r="J19" s="1"/>
    </row>
    <row r="22" spans="8:10" x14ac:dyDescent="0.25">
      <c r="H22" s="4"/>
    </row>
    <row r="24" spans="8:10" x14ac:dyDescent="0.25">
      <c r="I24" s="1"/>
    </row>
    <row r="25" spans="8:10" x14ac:dyDescent="0.25">
      <c r="H25" s="4"/>
    </row>
    <row r="26" spans="8:10" x14ac:dyDescent="0.25">
      <c r="H26" s="4"/>
    </row>
    <row r="28" spans="8:10" x14ac:dyDescent="0.25">
      <c r="H28" s="4"/>
    </row>
    <row r="30" spans="8:10" x14ac:dyDescent="0.25">
      <c r="H30" s="4"/>
    </row>
    <row r="33" spans="8:8" x14ac:dyDescent="0.25">
      <c r="H33" s="4"/>
    </row>
    <row r="34" spans="8:8" x14ac:dyDescent="0.25">
      <c r="H34" s="4"/>
    </row>
    <row r="35" spans="8:8" x14ac:dyDescent="0.25">
      <c r="H35" s="4"/>
    </row>
    <row r="36" spans="8:8" x14ac:dyDescent="0.25">
      <c r="H36" s="4"/>
    </row>
    <row r="37" spans="8:8" x14ac:dyDescent="0.25">
      <c r="H37" s="4"/>
    </row>
    <row r="38" spans="8:8" x14ac:dyDescent="0.25">
      <c r="H38" s="4"/>
    </row>
    <row r="39" spans="8:8" x14ac:dyDescent="0.25">
      <c r="H39" s="4"/>
    </row>
  </sheetData>
  <autoFilter ref="A1:L36" xr:uid="{A2A7148F-73E8-45E0-8B75-B6872BC64030}">
    <sortState xmlns:xlrd2="http://schemas.microsoft.com/office/spreadsheetml/2017/richdata2" ref="A2:L37">
      <sortCondition descending="1" ref="D1:D3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98347-15B0-4971-8AD5-D9B47D685A61}">
  <dimension ref="A1:B5"/>
  <sheetViews>
    <sheetView workbookViewId="0">
      <selection activeCell="B5" sqref="B5"/>
    </sheetView>
  </sheetViews>
  <sheetFormatPr defaultRowHeight="15" x14ac:dyDescent="0.25"/>
  <cols>
    <col min="1" max="1" width="18.42578125" style="2" bestFit="1" customWidth="1"/>
    <col min="2" max="2" width="64" style="2" customWidth="1"/>
    <col min="3" max="5" width="9.140625" style="2"/>
    <col min="6" max="6" width="73.28515625" style="2" bestFit="1" customWidth="1"/>
    <col min="7" max="16384" width="9.140625" style="2"/>
  </cols>
  <sheetData>
    <row r="1" spans="1:2" x14ac:dyDescent="0.25">
      <c r="A1" s="2" t="s">
        <v>35</v>
      </c>
      <c r="B1" s="2" t="s">
        <v>36</v>
      </c>
    </row>
    <row r="2" spans="1:2" x14ac:dyDescent="0.25">
      <c r="A2" s="2" t="s">
        <v>156</v>
      </c>
      <c r="B2" s="2" t="s">
        <v>157</v>
      </c>
    </row>
    <row r="3" spans="1:2" x14ac:dyDescent="0.25">
      <c r="A3" s="2" t="s">
        <v>158</v>
      </c>
      <c r="B3" s="2" t="s">
        <v>159</v>
      </c>
    </row>
    <row r="4" spans="1:2" x14ac:dyDescent="0.25">
      <c r="A4" s="2" t="s">
        <v>171</v>
      </c>
      <c r="B4" s="2" t="s">
        <v>172</v>
      </c>
    </row>
    <row r="5" spans="1:2" x14ac:dyDescent="0.25">
      <c r="A5" s="2" t="s">
        <v>178</v>
      </c>
      <c r="B5">
        <f>SUM(Cards!A2:A100)</f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D00D4-06C8-4BB5-9160-15FEE104C2A1}">
  <dimension ref="A1:B5"/>
  <sheetViews>
    <sheetView workbookViewId="0">
      <selection activeCell="B31" sqref="B31"/>
    </sheetView>
  </sheetViews>
  <sheetFormatPr defaultRowHeight="15" x14ac:dyDescent="0.25"/>
  <cols>
    <col min="1" max="1" width="18.42578125" style="2" bestFit="1" customWidth="1"/>
    <col min="2" max="2" width="64" style="2" customWidth="1"/>
    <col min="3" max="5" width="9.140625" style="2"/>
    <col min="6" max="6" width="73.28515625" style="2" bestFit="1" customWidth="1"/>
    <col min="7" max="16384" width="9.140625" style="2"/>
  </cols>
  <sheetData>
    <row r="1" spans="1:2" x14ac:dyDescent="0.25">
      <c r="A1" s="2" t="s">
        <v>35</v>
      </c>
      <c r="B1" s="2" t="s">
        <v>36</v>
      </c>
    </row>
    <row r="2" spans="1:2" x14ac:dyDescent="0.25">
      <c r="A2" s="2" t="s">
        <v>156</v>
      </c>
      <c r="B2" s="2" t="s">
        <v>157</v>
      </c>
    </row>
    <row r="3" spans="1:2" x14ac:dyDescent="0.25">
      <c r="A3" s="2" t="s">
        <v>158</v>
      </c>
      <c r="B3" s="2" t="s">
        <v>159</v>
      </c>
    </row>
    <row r="4" spans="1:2" x14ac:dyDescent="0.25">
      <c r="A4" s="2" t="s">
        <v>171</v>
      </c>
      <c r="B4" s="2" t="s">
        <v>172</v>
      </c>
    </row>
    <row r="5" spans="1:2" x14ac:dyDescent="0.25">
      <c r="A5" s="2" t="s">
        <v>178</v>
      </c>
      <c r="B5">
        <f>SUM('Set2'!A2:A100)</f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D9C2-E55D-467B-B49B-C220467AE7E3}">
  <dimension ref="A1:J7"/>
  <sheetViews>
    <sheetView zoomScale="115" zoomScaleNormal="115" workbookViewId="0">
      <selection activeCell="J8" sqref="J8"/>
    </sheetView>
  </sheetViews>
  <sheetFormatPr defaultRowHeight="15" x14ac:dyDescent="0.25"/>
  <cols>
    <col min="8" max="8" width="45.7109375" customWidth="1"/>
    <col min="9" max="9" width="44.28515625" customWidth="1"/>
  </cols>
  <sheetData>
    <row r="1" spans="1:10" x14ac:dyDescent="0.25">
      <c r="A1" t="s">
        <v>108</v>
      </c>
      <c r="B1" t="s">
        <v>121</v>
      </c>
      <c r="C1" t="s">
        <v>122</v>
      </c>
      <c r="D1" t="s">
        <v>109</v>
      </c>
      <c r="E1" t="s">
        <v>111</v>
      </c>
      <c r="F1" t="s">
        <v>110</v>
      </c>
      <c r="G1" t="s">
        <v>112</v>
      </c>
      <c r="H1" t="s">
        <v>118</v>
      </c>
      <c r="I1" t="s">
        <v>119</v>
      </c>
      <c r="J1" t="s">
        <v>195</v>
      </c>
    </row>
    <row r="2" spans="1:10" x14ac:dyDescent="0.25">
      <c r="A2">
        <v>10</v>
      </c>
      <c r="B2" t="s">
        <v>105</v>
      </c>
      <c r="C2" t="s">
        <v>123</v>
      </c>
      <c r="D2" t="s">
        <v>113</v>
      </c>
      <c r="E2">
        <v>1</v>
      </c>
      <c r="F2">
        <v>1</v>
      </c>
      <c r="G2">
        <v>0.5</v>
      </c>
      <c r="I2" t="s">
        <v>128</v>
      </c>
    </row>
    <row r="3" spans="1:10" x14ac:dyDescent="0.25">
      <c r="A3">
        <v>10</v>
      </c>
      <c r="B3" t="s">
        <v>105</v>
      </c>
      <c r="C3" t="s">
        <v>124</v>
      </c>
      <c r="D3" t="s">
        <v>114</v>
      </c>
      <c r="E3">
        <v>2</v>
      </c>
      <c r="F3">
        <v>2</v>
      </c>
      <c r="G3">
        <v>1.5</v>
      </c>
      <c r="I3" t="s">
        <v>129</v>
      </c>
    </row>
    <row r="4" spans="1:10" x14ac:dyDescent="0.25">
      <c r="A4">
        <v>10</v>
      </c>
      <c r="B4" t="s">
        <v>105</v>
      </c>
      <c r="C4" t="s">
        <v>126</v>
      </c>
      <c r="D4" t="s">
        <v>115</v>
      </c>
      <c r="E4">
        <v>3</v>
      </c>
      <c r="F4">
        <v>3</v>
      </c>
      <c r="G4">
        <v>2</v>
      </c>
      <c r="I4" t="s">
        <v>130</v>
      </c>
    </row>
    <row r="5" spans="1:10" x14ac:dyDescent="0.25">
      <c r="A5">
        <v>10</v>
      </c>
      <c r="B5" t="s">
        <v>105</v>
      </c>
      <c r="C5" t="s">
        <v>125</v>
      </c>
      <c r="D5" t="s">
        <v>116</v>
      </c>
      <c r="E5">
        <v>4</v>
      </c>
      <c r="F5">
        <v>4</v>
      </c>
      <c r="G5">
        <v>4</v>
      </c>
      <c r="I5" t="s">
        <v>131</v>
      </c>
    </row>
    <row r="6" spans="1:10" x14ac:dyDescent="0.25">
      <c r="A6">
        <v>10</v>
      </c>
      <c r="B6" t="s">
        <v>105</v>
      </c>
      <c r="C6" t="s">
        <v>127</v>
      </c>
      <c r="D6" t="s">
        <v>117</v>
      </c>
      <c r="E6">
        <v>5</v>
      </c>
      <c r="F6">
        <v>5</v>
      </c>
      <c r="G6">
        <v>6</v>
      </c>
      <c r="H6" t="s">
        <v>133</v>
      </c>
      <c r="I6" t="s">
        <v>132</v>
      </c>
    </row>
    <row r="7" spans="1:10" x14ac:dyDescent="0.25">
      <c r="A7">
        <v>10</v>
      </c>
      <c r="B7" t="s">
        <v>197</v>
      </c>
      <c r="C7" t="s">
        <v>210</v>
      </c>
      <c r="D7" t="s">
        <v>211</v>
      </c>
      <c r="E7" t="s">
        <v>196</v>
      </c>
      <c r="F7" s="1">
        <v>1</v>
      </c>
      <c r="G7" s="1">
        <v>1</v>
      </c>
      <c r="H7" t="s">
        <v>212</v>
      </c>
      <c r="J7" t="s">
        <v>196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9E822-3C82-40C4-A50F-9A13EFA6FBF0}">
  <dimension ref="A1:B2"/>
  <sheetViews>
    <sheetView workbookViewId="0">
      <selection activeCell="D16" sqref="D16"/>
    </sheetView>
  </sheetViews>
  <sheetFormatPr defaultRowHeight="15" x14ac:dyDescent="0.25"/>
  <sheetData>
    <row r="1" spans="1:2" x14ac:dyDescent="0.25">
      <c r="A1" t="s">
        <v>179</v>
      </c>
      <c r="B1" t="s">
        <v>180</v>
      </c>
    </row>
    <row r="2" spans="1:2" x14ac:dyDescent="0.25">
      <c r="A2" s="2" t="s">
        <v>178</v>
      </c>
      <c r="B2">
        <f>SUM(Starter!A2:A100)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Cards</vt:lpstr>
      <vt:lpstr>Starter</vt:lpstr>
      <vt:lpstr>Set2</vt:lpstr>
      <vt:lpstr>Cards_defines</vt:lpstr>
      <vt:lpstr>Set2_defines</vt:lpstr>
      <vt:lpstr>Metroids</vt:lpstr>
      <vt:lpstr>Starter_defines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Pessah</dc:creator>
  <cp:lastModifiedBy>Matthew Pessah</cp:lastModifiedBy>
  <dcterms:created xsi:type="dcterms:W3CDTF">2025-05-22T02:20:59Z</dcterms:created>
  <dcterms:modified xsi:type="dcterms:W3CDTF">2026-08-10T20:36:30Z</dcterms:modified>
</cp:coreProperties>
</file>